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<sst xmlns="http://schemas.openxmlformats.org/spreadsheetml/2006/main" count="21" uniqueCount="21">
  <si>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Historical Share Price Analysis</t>
  </si>
  <si>
    <t>Company</t>
  </si>
  <si>
    <t>Current Price</t>
  </si>
  <si>
    <t>1st Year ago</t>
  </si>
  <si>
    <t>2nd year ago</t>
  </si>
  <si>
    <t>3rd Year ago</t>
  </si>
  <si>
    <t>4th Year ago</t>
  </si>
  <si>
    <t>5th Year ago</t>
  </si>
  <si>
    <t>ITC Limited</t>
  </si>
  <si>
    <t>State Bank of India</t>
  </si>
  <si>
    <t>Sun Pharmaceutical Industries</t>
  </si>
  <si>
    <t>Wipro</t>
  </si>
  <si>
    <t>Asian paints</t>
  </si>
  <si>
    <t>VALUE OF Rs.100000 INVESTMENT TODAY</t>
  </si>
  <si>
    <t>Amount invested</t>
  </si>
  <si>
    <t>COMPARISON WITH FIXED RETURN INVESTMENT</t>
  </si>
  <si>
    <t xml:space="preserve">Investment type </t>
  </si>
  <si>
    <t xml:space="preserve">Amount invested </t>
  </si>
  <si>
    <t>Saving Account (3%)</t>
  </si>
  <si>
    <t>Fixed Deposit (7%)</t>
  </si>
  <si>
    <t>Best Performing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</si>
</sst>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theme="1"/>
      <name val="Times New Roman"/>
    </font>
    <font/>
    <font>
      <color theme="1"/>
      <name val="Arial"/>
    </font>
    <font>
      <b/>
      <sz val="14.0"/>
      <color theme="1"/>
      <name val="Times New Roman"/>
    </font>
    <font>
      <sz val="13.0"/>
      <color theme="1"/>
      <name val="Times New Roman"/>
    </font>
    <font>
      <b/>
      <sz val="17.0"/>
      <color theme="1"/>
      <name val="Times New Roman"/>
    </font>
    <font>
      <sz val="16.0"/>
      <color theme="1"/>
      <name val="Times New Roman"/>
    </font>
    <font>
      <sz val="14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bottom"/>
    </xf>
    <xf borderId="8" fillId="3" fontId="4" numFmtId="0" xfId="0" applyAlignment="1" applyBorder="1" applyFont="1">
      <alignment horizontal="center" vertical="bottom"/>
    </xf>
    <xf borderId="9" fillId="3" fontId="4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vertical="bottom"/>
    </xf>
    <xf borderId="8" fillId="3" fontId="5" numFmtId="0" xfId="0" applyAlignment="1" applyBorder="1" applyFont="1">
      <alignment horizontal="right" vertical="bottom"/>
    </xf>
    <xf borderId="9" fillId="3" fontId="5" numFmtId="0" xfId="0" applyAlignment="1" applyBorder="1" applyFont="1">
      <alignment horizontal="right" vertical="bottom"/>
    </xf>
    <xf borderId="10" fillId="3" fontId="5" numFmtId="0" xfId="0" applyAlignment="1" applyBorder="1" applyFont="1">
      <alignment horizontal="center" vertical="bottom"/>
    </xf>
    <xf borderId="11" fillId="3" fontId="5" numFmtId="0" xfId="0" applyAlignment="1" applyBorder="1" applyFont="1">
      <alignment horizontal="right" vertical="bottom"/>
    </xf>
    <xf borderId="6" fillId="3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4" fillId="4" fontId="6" numFmtId="0" xfId="0" applyAlignment="1" applyBorder="1" applyFill="1" applyFont="1">
      <alignment horizontal="center" vertical="bottom"/>
    </xf>
    <xf borderId="7" fillId="5" fontId="7" numFmtId="0" xfId="0" applyAlignment="1" applyBorder="1" applyFill="1" applyFont="1">
      <alignment vertical="bottom"/>
    </xf>
    <xf borderId="8" fillId="5" fontId="7" numFmtId="0" xfId="0" applyAlignment="1" applyBorder="1" applyFont="1">
      <alignment vertical="bottom"/>
    </xf>
    <xf borderId="12" fillId="5" fontId="7" numFmtId="0" xfId="0" applyAlignment="1" applyBorder="1" applyFont="1">
      <alignment shrinkToFit="0" vertical="bottom" wrapText="0"/>
    </xf>
    <xf borderId="7" fillId="6" fontId="8" numFmtId="0" xfId="0" applyAlignment="1" applyBorder="1" applyFill="1" applyFont="1">
      <alignment vertical="bottom"/>
    </xf>
    <xf borderId="8" fillId="6" fontId="8" numFmtId="0" xfId="0" applyAlignment="1" applyBorder="1" applyFont="1">
      <alignment horizontal="right" vertical="bottom"/>
    </xf>
    <xf borderId="9" fillId="6" fontId="8" numFmtId="0" xfId="0" applyAlignment="1" applyBorder="1" applyFont="1">
      <alignment horizontal="right" vertical="bottom"/>
    </xf>
    <xf borderId="10" fillId="6" fontId="8" numFmtId="0" xfId="0" applyAlignment="1" applyBorder="1" applyFont="1">
      <alignment vertical="bottom"/>
    </xf>
    <xf borderId="11" fillId="6" fontId="8" numFmtId="0" xfId="0" applyAlignment="1" applyBorder="1" applyFont="1">
      <alignment horizontal="right" vertical="bottom"/>
    </xf>
    <xf borderId="6" fillId="6" fontId="8" numFmtId="0" xfId="0" applyAlignment="1" applyBorder="1" applyFont="1">
      <alignment horizontal="right" vertical="bottom"/>
    </xf>
    <xf borderId="4" fillId="7" fontId="6" numFmtId="0" xfId="0" applyAlignment="1" applyBorder="1" applyFill="1" applyFont="1">
      <alignment horizontal="center" vertical="bottom"/>
    </xf>
    <xf borderId="7" fillId="8" fontId="7" numFmtId="0" xfId="0" applyAlignment="1" applyBorder="1" applyFill="1" applyFont="1">
      <alignment vertical="bottom"/>
    </xf>
    <xf borderId="8" fillId="8" fontId="7" numFmtId="0" xfId="0" applyAlignment="1" applyBorder="1" applyFont="1">
      <alignment vertical="bottom"/>
    </xf>
    <xf borderId="12" fillId="8" fontId="7" numFmtId="0" xfId="0" applyAlignment="1" applyBorder="1" applyFont="1">
      <alignment shrinkToFit="0" vertical="bottom" wrapText="0"/>
    </xf>
    <xf borderId="7" fillId="9" fontId="8" numFmtId="0" xfId="0" applyAlignment="1" applyBorder="1" applyFill="1" applyFont="1">
      <alignment vertical="bottom"/>
    </xf>
    <xf borderId="8" fillId="9" fontId="8" numFmtId="0" xfId="0" applyAlignment="1" applyBorder="1" applyFont="1">
      <alignment horizontal="right" vertical="bottom"/>
    </xf>
    <xf borderId="9" fillId="9" fontId="8" numFmtId="0" xfId="0" applyAlignment="1" applyBorder="1" applyFont="1">
      <alignment horizontal="right" vertical="bottom"/>
    </xf>
    <xf borderId="10" fillId="9" fontId="8" numFmtId="0" xfId="0" applyAlignment="1" applyBorder="1" applyFont="1">
      <alignment vertical="bottom"/>
    </xf>
    <xf borderId="11" fillId="9" fontId="8" numFmtId="0" xfId="0" applyAlignment="1" applyBorder="1" applyFont="1">
      <alignment horizontal="right" vertical="bottom"/>
    </xf>
    <xf borderId="6" fillId="9" fontId="8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7.75"/>
    <col customWidth="1" min="3" max="3" width="20.13"/>
    <col customWidth="1" min="4" max="4" width="25.0"/>
    <col customWidth="1" min="5" max="5" width="20.75"/>
    <col customWidth="1" min="6" max="6" width="21.5"/>
    <col customWidth="1" min="7" max="7" width="18.63"/>
  </cols>
  <sheetData>
    <row r="1">
      <c r="A1" s="1" t="s">
        <v>0</v>
      </c>
      <c r="B1" s="2"/>
      <c r="C1" s="2"/>
      <c r="D1" s="2"/>
      <c r="E1" s="2"/>
      <c r="F1" s="2"/>
      <c r="G1" s="3"/>
      <c r="H1" s="4"/>
    </row>
    <row r="2">
      <c r="A2" s="5"/>
      <c r="B2" s="6"/>
      <c r="C2" s="6"/>
      <c r="D2" s="6"/>
      <c r="E2" s="6"/>
      <c r="F2" s="6"/>
      <c r="G2" s="7"/>
      <c r="H2" s="4"/>
    </row>
    <row r="3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10" t="s">
        <v>7</v>
      </c>
      <c r="H3" s="4"/>
    </row>
    <row r="4">
      <c r="A4" s="11" t="s">
        <v>8</v>
      </c>
      <c r="B4" s="12">
        <v>291.0</v>
      </c>
      <c r="C4" s="12">
        <v>404.0</v>
      </c>
      <c r="D4" s="12">
        <v>478.0</v>
      </c>
      <c r="E4" s="12">
        <v>462.0</v>
      </c>
      <c r="F4" s="12">
        <v>331.0</v>
      </c>
      <c r="G4" s="13">
        <v>218.0</v>
      </c>
      <c r="H4" s="4"/>
    </row>
    <row r="5">
      <c r="A5" s="11" t="s">
        <v>9</v>
      </c>
      <c r="B5" s="12">
        <v>1038.95</v>
      </c>
      <c r="C5" s="12">
        <v>966.0</v>
      </c>
      <c r="D5" s="12">
        <v>799.0</v>
      </c>
      <c r="E5" s="12">
        <v>642.0</v>
      </c>
      <c r="F5" s="12">
        <v>613.0</v>
      </c>
      <c r="G5" s="13">
        <v>460.0</v>
      </c>
      <c r="H5" s="4"/>
    </row>
    <row r="6">
      <c r="A6" s="11" t="s">
        <v>10</v>
      </c>
      <c r="B6" s="12">
        <v>1873.0</v>
      </c>
      <c r="C6" s="12">
        <v>1719.0</v>
      </c>
      <c r="D6" s="12">
        <v>1861.0</v>
      </c>
      <c r="E6" s="12">
        <v>1259.0</v>
      </c>
      <c r="F6" s="12">
        <v>1001.0</v>
      </c>
      <c r="G6" s="13">
        <v>845.0</v>
      </c>
      <c r="H6" s="4"/>
    </row>
    <row r="7">
      <c r="A7" s="11" t="s">
        <v>11</v>
      </c>
      <c r="B7" s="12">
        <v>175.6</v>
      </c>
      <c r="C7" s="12">
        <v>266.0</v>
      </c>
      <c r="D7" s="12">
        <v>309.0</v>
      </c>
      <c r="E7" s="12">
        <v>235.0</v>
      </c>
      <c r="F7" s="12">
        <v>196.0</v>
      </c>
      <c r="G7" s="13">
        <v>357.0</v>
      </c>
      <c r="H7" s="4"/>
    </row>
    <row r="8">
      <c r="A8" s="14" t="s">
        <v>12</v>
      </c>
      <c r="B8" s="15">
        <v>2655.0</v>
      </c>
      <c r="C8" s="15">
        <v>2746.0</v>
      </c>
      <c r="D8" s="15">
        <v>2271.0</v>
      </c>
      <c r="E8" s="15">
        <v>3402.0</v>
      </c>
      <c r="F8" s="15">
        <v>3087.0</v>
      </c>
      <c r="G8" s="16">
        <v>3382.0</v>
      </c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17"/>
      <c r="B10" s="17"/>
      <c r="C10" s="17"/>
      <c r="D10" s="17"/>
      <c r="E10" s="17"/>
      <c r="F10" s="17"/>
      <c r="G10" s="17"/>
      <c r="H10" s="4"/>
    </row>
    <row r="11">
      <c r="A11" s="18" t="s">
        <v>13</v>
      </c>
      <c r="B11" s="6"/>
      <c r="C11" s="6"/>
      <c r="D11" s="6"/>
      <c r="E11" s="6"/>
      <c r="F11" s="6"/>
      <c r="G11" s="7"/>
      <c r="H11" s="4"/>
    </row>
    <row r="12">
      <c r="A12" s="19" t="str">
        <f t="shared" ref="A12:A17" si="2">A3</f>
        <v>Company</v>
      </c>
      <c r="B12" s="20" t="s">
        <v>14</v>
      </c>
      <c r="C12" s="20" t="str">
        <f t="shared" ref="C12:G12" si="1">C3</f>
        <v>1st Year ago</v>
      </c>
      <c r="D12" s="20" t="str">
        <f t="shared" si="1"/>
        <v>2nd year ago</v>
      </c>
      <c r="E12" s="20" t="str">
        <f t="shared" si="1"/>
        <v>3rd Year ago</v>
      </c>
      <c r="F12" s="20" t="str">
        <f t="shared" si="1"/>
        <v>4th Year ago</v>
      </c>
      <c r="G12" s="21" t="str">
        <f t="shared" si="1"/>
        <v>5th Year ago</v>
      </c>
      <c r="H12" s="4"/>
    </row>
    <row r="13">
      <c r="A13" s="22" t="str">
        <f t="shared" si="2"/>
        <v>ITC Limited</v>
      </c>
      <c r="B13" s="23">
        <v>100000.0</v>
      </c>
      <c r="C13" s="23">
        <f t="shared" ref="C13:C17" si="3">B13*(B4/C4)</f>
        <v>72029.70297</v>
      </c>
      <c r="D13" s="23">
        <f t="shared" ref="D13:D17" si="4">B13*(B4/D4)</f>
        <v>60878.66109</v>
      </c>
      <c r="E13" s="23">
        <f t="shared" ref="E13:E17" si="5">B13*(B4/E4)</f>
        <v>62987.01299</v>
      </c>
      <c r="F13" s="23">
        <f t="shared" ref="F13:F17" si="6">B13*(B4/F4)</f>
        <v>87915.40785</v>
      </c>
      <c r="G13" s="24">
        <f t="shared" ref="G13:G17" si="7">B13*(B4/G4)</f>
        <v>133486.2385</v>
      </c>
      <c r="H13" s="4"/>
    </row>
    <row r="14">
      <c r="A14" s="22" t="str">
        <f t="shared" si="2"/>
        <v>State Bank of India</v>
      </c>
      <c r="B14" s="23">
        <f t="shared" ref="B14:B17" si="8">B13</f>
        <v>100000</v>
      </c>
      <c r="C14" s="23">
        <f t="shared" si="3"/>
        <v>107551.7598</v>
      </c>
      <c r="D14" s="23">
        <f t="shared" si="4"/>
        <v>130031.2891</v>
      </c>
      <c r="E14" s="23">
        <f t="shared" si="5"/>
        <v>161830.2181</v>
      </c>
      <c r="F14" s="23">
        <f t="shared" si="6"/>
        <v>169486.1338</v>
      </c>
      <c r="G14" s="24">
        <f t="shared" si="7"/>
        <v>225858.6957</v>
      </c>
      <c r="H14" s="4"/>
    </row>
    <row r="15">
      <c r="A15" s="22" t="str">
        <f t="shared" si="2"/>
        <v>Sun Pharmaceutical Industries</v>
      </c>
      <c r="B15" s="23">
        <f t="shared" si="8"/>
        <v>100000</v>
      </c>
      <c r="C15" s="23">
        <f t="shared" si="3"/>
        <v>108958.6969</v>
      </c>
      <c r="D15" s="23">
        <f t="shared" si="4"/>
        <v>100644.8146</v>
      </c>
      <c r="E15" s="23">
        <f t="shared" si="5"/>
        <v>148768.8642</v>
      </c>
      <c r="F15" s="23">
        <f t="shared" si="6"/>
        <v>187112.8871</v>
      </c>
      <c r="G15" s="24">
        <f t="shared" si="7"/>
        <v>221656.8047</v>
      </c>
      <c r="H15" s="4"/>
    </row>
    <row r="16">
      <c r="A16" s="22" t="str">
        <f t="shared" si="2"/>
        <v>Wipro</v>
      </c>
      <c r="B16" s="23">
        <f t="shared" si="8"/>
        <v>100000</v>
      </c>
      <c r="C16" s="23">
        <f t="shared" si="3"/>
        <v>66015.03759</v>
      </c>
      <c r="D16" s="23">
        <f t="shared" si="4"/>
        <v>56828.47896</v>
      </c>
      <c r="E16" s="23">
        <f t="shared" si="5"/>
        <v>74723.40426</v>
      </c>
      <c r="F16" s="23">
        <f t="shared" si="6"/>
        <v>89591.83673</v>
      </c>
      <c r="G16" s="24">
        <f t="shared" si="7"/>
        <v>49187.67507</v>
      </c>
      <c r="H16" s="4"/>
    </row>
    <row r="17">
      <c r="A17" s="25" t="str">
        <f t="shared" si="2"/>
        <v>Asian paints</v>
      </c>
      <c r="B17" s="26">
        <f t="shared" si="8"/>
        <v>100000</v>
      </c>
      <c r="C17" s="26">
        <f t="shared" si="3"/>
        <v>96686.08886</v>
      </c>
      <c r="D17" s="26">
        <f t="shared" si="4"/>
        <v>116908.8507</v>
      </c>
      <c r="E17" s="26">
        <f t="shared" si="5"/>
        <v>78042.32804</v>
      </c>
      <c r="F17" s="26">
        <f t="shared" si="6"/>
        <v>86005.8309</v>
      </c>
      <c r="G17" s="27">
        <f t="shared" si="7"/>
        <v>78503.84388</v>
      </c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17"/>
      <c r="B19" s="17"/>
      <c r="C19" s="17"/>
      <c r="D19" s="17"/>
      <c r="E19" s="17"/>
      <c r="F19" s="17"/>
      <c r="G19" s="17"/>
      <c r="H19" s="4"/>
    </row>
    <row r="20">
      <c r="A20" s="28" t="s">
        <v>15</v>
      </c>
      <c r="B20" s="6"/>
      <c r="C20" s="6"/>
      <c r="D20" s="6"/>
      <c r="E20" s="6"/>
      <c r="F20" s="6"/>
      <c r="G20" s="7"/>
      <c r="H20" s="4"/>
    </row>
    <row r="21">
      <c r="A21" s="29" t="s">
        <v>16</v>
      </c>
      <c r="B21" s="30" t="s">
        <v>17</v>
      </c>
      <c r="C21" s="30" t="str">
        <f>C12:G12</f>
        <v>1st Year ago</v>
      </c>
      <c r="D21" s="30" t="str">
        <f t="shared" ref="D21:G21" si="9">D12</f>
        <v>2nd year ago</v>
      </c>
      <c r="E21" s="30" t="str">
        <f t="shared" si="9"/>
        <v>3rd Year ago</v>
      </c>
      <c r="F21" s="30" t="str">
        <f t="shared" si="9"/>
        <v>4th Year ago</v>
      </c>
      <c r="G21" s="31" t="str">
        <f t="shared" si="9"/>
        <v>5th Year ago</v>
      </c>
      <c r="H21" s="4"/>
    </row>
    <row r="22">
      <c r="A22" s="32" t="s">
        <v>18</v>
      </c>
      <c r="B22" s="33">
        <v>100000.0</v>
      </c>
      <c r="C22" s="33">
        <f>B22*(1+3%*1)</f>
        <v>103000</v>
      </c>
      <c r="D22" s="33">
        <f>C22*(1+3%*2)</f>
        <v>109180</v>
      </c>
      <c r="E22" s="33">
        <f>D22*(1+3%*3)</f>
        <v>119006.2</v>
      </c>
      <c r="F22" s="33">
        <f>E22*(1+3%*4)</f>
        <v>133286.944</v>
      </c>
      <c r="G22" s="34">
        <f>F22*(1+3%*5)</f>
        <v>153279.9856</v>
      </c>
      <c r="H22" s="4"/>
    </row>
    <row r="23">
      <c r="A23" s="32" t="s">
        <v>19</v>
      </c>
      <c r="B23" s="33">
        <f>B22</f>
        <v>100000</v>
      </c>
      <c r="C23" s="33">
        <f>B23*(1+7%*1)</f>
        <v>107000</v>
      </c>
      <c r="D23" s="33">
        <f>C23*(1+7%*2)</f>
        <v>121980</v>
      </c>
      <c r="E23" s="33">
        <f>D23*(1+7%*3)</f>
        <v>147595.8</v>
      </c>
      <c r="F23" s="33">
        <f>E23*(1+7%*4)</f>
        <v>188922.624</v>
      </c>
      <c r="G23" s="34">
        <f>F23*(1+7%*5)</f>
        <v>255045.5424</v>
      </c>
      <c r="H23" s="4"/>
    </row>
    <row r="24">
      <c r="A24" s="35" t="s">
        <v>20</v>
      </c>
      <c r="B24" s="36">
        <f t="shared" ref="B24:G24" si="10">B8</f>
        <v>2655</v>
      </c>
      <c r="C24" s="36">
        <f t="shared" si="10"/>
        <v>2746</v>
      </c>
      <c r="D24" s="36">
        <f t="shared" si="10"/>
        <v>2271</v>
      </c>
      <c r="E24" s="36">
        <f t="shared" si="10"/>
        <v>3402</v>
      </c>
      <c r="F24" s="36">
        <f t="shared" si="10"/>
        <v>3087</v>
      </c>
      <c r="G24" s="37">
        <f t="shared" si="10"/>
        <v>3382</v>
      </c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</sheetData>
  <mergeCells count="3">
    <mergeCell ref="A1:G2"/>
    <mergeCell ref="A11:G11"/>
    <mergeCell ref="A20:G20"/>
  </mergeCells>
  <drawing r:id="rId1"/>
</worksheet>
</file>